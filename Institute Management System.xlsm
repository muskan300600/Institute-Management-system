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i9\Desktop\"/>
    </mc:Choice>
  </mc:AlternateContent>
  <xr:revisionPtr revIDLastSave="0" documentId="13_ncr:1_{7811AFE6-D710-43D4-B77B-7232B81B83DD}" xr6:coauthVersionLast="46" xr6:coauthVersionMax="46" xr10:uidLastSave="{00000000-0000-0000-0000-000000000000}"/>
  <bookViews>
    <workbookView xWindow="-110" yWindow="-110" windowWidth="19420" windowHeight="10420" xr2:uid="{0323DDAB-3A0C-4FDD-931A-7665342E71B0}"/>
  </bookViews>
  <sheets>
    <sheet name="Dashboard" sheetId="1" r:id="rId1"/>
    <sheet name="Enquiry" sheetId="2" r:id="rId2"/>
    <sheet name="Courses" sheetId="3" r:id="rId3"/>
    <sheet name="Admission Form" sheetId="4" r:id="rId4"/>
    <sheet name="Student Record" sheetId="5" r:id="rId5"/>
    <sheet name="Student Fee Receipt" sheetId="6" r:id="rId6"/>
    <sheet name="Student Fee Record" sheetId="7" r:id="rId7"/>
    <sheet name="Sheet1" sheetId="8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G3" i="2"/>
  <c r="F3" i="2"/>
  <c r="E17" i="6"/>
  <c r="E18" i="6" s="1"/>
  <c r="E16" i="6"/>
  <c r="E11" i="6"/>
  <c r="F14" i="4"/>
  <c r="C16" i="4"/>
  <c r="E7" i="6"/>
  <c r="F16" i="4"/>
  <c r="B3" i="2"/>
  <c r="C18" i="4" l="1"/>
</calcChain>
</file>

<file path=xl/sharedStrings.xml><?xml version="1.0" encoding="utf-8"?>
<sst xmlns="http://schemas.openxmlformats.org/spreadsheetml/2006/main" count="73" uniqueCount="63">
  <si>
    <t>INSTITUTE MANAGEMENT SYSTEM</t>
  </si>
  <si>
    <t>DATE</t>
  </si>
  <si>
    <t>COURSE</t>
  </si>
  <si>
    <t>S.No.</t>
  </si>
  <si>
    <t>COURSE NAME</t>
  </si>
  <si>
    <t>COURSE FEE</t>
  </si>
  <si>
    <t>DURATION</t>
  </si>
  <si>
    <t>Java</t>
  </si>
  <si>
    <t>Cloud Computing</t>
  </si>
  <si>
    <t>Data Structures</t>
  </si>
  <si>
    <t>Analytics</t>
  </si>
  <si>
    <t>Finance</t>
  </si>
  <si>
    <t>2 Months</t>
  </si>
  <si>
    <t>3 Months</t>
  </si>
  <si>
    <t>ADMISSION FORM</t>
  </si>
  <si>
    <t xml:space="preserve">Student ID: </t>
  </si>
  <si>
    <t>Admission Date:</t>
  </si>
  <si>
    <t>Student Name</t>
  </si>
  <si>
    <t>Student Name:</t>
  </si>
  <si>
    <t>Father's Name:</t>
  </si>
  <si>
    <t xml:space="preserve">DOB: </t>
  </si>
  <si>
    <t>Mobile No. :</t>
  </si>
  <si>
    <t xml:space="preserve">Address: </t>
  </si>
  <si>
    <t>Course Name:</t>
  </si>
  <si>
    <t>Duration:</t>
  </si>
  <si>
    <t xml:space="preserve">Course Fee: </t>
  </si>
  <si>
    <t>Discount:</t>
  </si>
  <si>
    <t xml:space="preserve">Total Fee: </t>
  </si>
  <si>
    <t>STUDENT ID</t>
  </si>
  <si>
    <t>STUDENT NAME</t>
  </si>
  <si>
    <t>DISCOUNT</t>
  </si>
  <si>
    <t>FEE RECEIPT</t>
  </si>
  <si>
    <t>Student ID</t>
  </si>
  <si>
    <t>Student ID:</t>
  </si>
  <si>
    <t>Receipt No. :</t>
  </si>
  <si>
    <t>Month:</t>
  </si>
  <si>
    <t>Date:</t>
  </si>
  <si>
    <t>Payment Type</t>
  </si>
  <si>
    <t>Payment Method</t>
  </si>
  <si>
    <t>Amount</t>
  </si>
  <si>
    <t>Gross Amount:</t>
  </si>
  <si>
    <t>Net Amount:</t>
  </si>
  <si>
    <t>Signature:</t>
  </si>
  <si>
    <t>Receipt No.</t>
  </si>
  <si>
    <t>Date</t>
  </si>
  <si>
    <t>Course Name</t>
  </si>
  <si>
    <t>Month</t>
  </si>
  <si>
    <t>Admission Date</t>
  </si>
  <si>
    <t>Course</t>
  </si>
  <si>
    <t>Course Fee</t>
  </si>
  <si>
    <t>Discount</t>
  </si>
  <si>
    <t>Total Fee</t>
  </si>
  <si>
    <t>Duration</t>
  </si>
  <si>
    <t>Cash</t>
  </si>
  <si>
    <t>Credit Card</t>
  </si>
  <si>
    <t>Debit Card</t>
  </si>
  <si>
    <t>Net Banking</t>
  </si>
  <si>
    <t>Stamp</t>
  </si>
  <si>
    <t>Fee</t>
  </si>
  <si>
    <t>Select</t>
  </si>
  <si>
    <t>RECEIPT ID</t>
  </si>
  <si>
    <t>FEE</t>
  </si>
  <si>
    <t>Payment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</si>
</sst>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₹-4009]\ #,##0.00"/>
    <numFmt numFmtId="165" formatCode="[$₹-439]#,##0.00"/>
    <numFmt numFmtId="166" formatCode="[$₹-860]\ #,##0.00"/>
    <numFmt numFmtId="167" formatCode="[$₹-44E]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22"/>
      <color theme="0"/>
      <name val="Arial Black"/>
      <family val="2"/>
    </font>
    <font>
      <sz val="8"/>
      <name val="Calibri"/>
      <family val="2"/>
      <scheme val="minor"/>
    </font>
    <font>
      <b/>
      <sz val="14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Border="1"/>
    <xf numFmtId="0" fontId="0" fillId="2" borderId="0" xfId="0" applyFill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/>
    <xf numFmtId="0" fontId="0" fillId="4" borderId="10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2" fillId="0" borderId="18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7" borderId="0" xfId="0" applyFill="1"/>
    <xf numFmtId="0" fontId="0" fillId="4" borderId="13" xfId="0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/>
    </xf>
    <xf numFmtId="0" fontId="1" fillId="5" borderId="1" xfId="0" applyFont="1" applyFill="1" applyBorder="1"/>
    <xf numFmtId="0" fontId="0" fillId="4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14" fontId="0" fillId="4" borderId="11" xfId="0" applyNumberForma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4" fontId="0" fillId="4" borderId="8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14" fontId="1" fillId="5" borderId="26" xfId="0" applyNumberFormat="1" applyFont="1" applyFill="1" applyBorder="1" applyAlignment="1">
      <alignment horizontal="center" vertical="center"/>
    </xf>
    <xf numFmtId="14" fontId="1" fillId="4" borderId="28" xfId="0" applyNumberFormat="1" applyFont="1" applyFill="1" applyBorder="1" applyAlignment="1">
      <alignment horizontal="center" vertical="center"/>
    </xf>
    <xf numFmtId="167" fontId="1" fillId="4" borderId="27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165" fontId="0" fillId="4" borderId="12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22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22" xfId="0" applyFont="1" applyBorder="1" applyAlignment="1">
      <alignment horizontal="right"/>
    </xf>
  </cellXfs>
  <cellStyles count="1">
    <cellStyle name="Normal" xfId="0" builtinId="0"/>
  </cellStyles>
  <dxfs count="24">
    <dxf>
      <numFmt numFmtId="167" formatCode="[$₹-44E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urses!A1"/><Relationship Id="rId7" Type="http://schemas.openxmlformats.org/officeDocument/2006/relationships/image" Target="../media/image1.png"/><Relationship Id="rId2" Type="http://schemas.openxmlformats.org/officeDocument/2006/relationships/hyperlink" Target="#Enquiry!A1"/><Relationship Id="rId1" Type="http://schemas.openxmlformats.org/officeDocument/2006/relationships/hyperlink" Target="#'Student Fee Record'!A1"/><Relationship Id="rId6" Type="http://schemas.openxmlformats.org/officeDocument/2006/relationships/hyperlink" Target="#'Student Fee Receipt'!A1"/><Relationship Id="rId5" Type="http://schemas.openxmlformats.org/officeDocument/2006/relationships/hyperlink" Target="#'Student Record'!A1"/><Relationship Id="rId4" Type="http://schemas.openxmlformats.org/officeDocument/2006/relationships/hyperlink" Target="#'Admission Form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3</xdr:row>
      <xdr:rowOff>63500</xdr:rowOff>
    </xdr:from>
    <xdr:to>
      <xdr:col>3</xdr:col>
      <xdr:colOff>552450</xdr:colOff>
      <xdr:row>5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38FDD7-23F8-4B62-BFF8-1E4F013A226D}"/>
            </a:ext>
          </a:extLst>
        </xdr:cNvPr>
        <xdr:cNvSpPr/>
      </xdr:nvSpPr>
      <xdr:spPr>
        <a:xfrm>
          <a:off x="781050" y="615950"/>
          <a:ext cx="160020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ENQUIRY</a:t>
          </a:r>
        </a:p>
      </xdr:txBody>
    </xdr:sp>
    <xdr:clientData/>
  </xdr:twoCellAnchor>
  <xdr:twoCellAnchor>
    <xdr:from>
      <xdr:col>1</xdr:col>
      <xdr:colOff>184150</xdr:colOff>
      <xdr:row>6</xdr:row>
      <xdr:rowOff>44450</xdr:rowOff>
    </xdr:from>
    <xdr:to>
      <xdr:col>3</xdr:col>
      <xdr:colOff>558800</xdr:colOff>
      <xdr:row>8</xdr:row>
      <xdr:rowOff>12700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F2DF7E-C584-44D1-8B05-EE474A27A606}"/>
            </a:ext>
          </a:extLst>
        </xdr:cNvPr>
        <xdr:cNvSpPr/>
      </xdr:nvSpPr>
      <xdr:spPr>
        <a:xfrm>
          <a:off x="793750" y="1149350"/>
          <a:ext cx="1593850" cy="3365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COURSES</a:t>
          </a:r>
        </a:p>
      </xdr:txBody>
    </xdr:sp>
    <xdr:clientData/>
  </xdr:twoCellAnchor>
  <xdr:twoCellAnchor>
    <xdr:from>
      <xdr:col>1</xdr:col>
      <xdr:colOff>177800</xdr:colOff>
      <xdr:row>9</xdr:row>
      <xdr:rowOff>82550</xdr:rowOff>
    </xdr:from>
    <xdr:to>
      <xdr:col>3</xdr:col>
      <xdr:colOff>539750</xdr:colOff>
      <xdr:row>11</xdr:row>
      <xdr:rowOff>57150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AE2FAF-9CB5-4DD0-8EC4-79E1B5E9D040}"/>
            </a:ext>
          </a:extLst>
        </xdr:cNvPr>
        <xdr:cNvSpPr/>
      </xdr:nvSpPr>
      <xdr:spPr>
        <a:xfrm>
          <a:off x="787400" y="1739900"/>
          <a:ext cx="158115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ADMISSION FORM</a:t>
          </a:r>
        </a:p>
      </xdr:txBody>
    </xdr:sp>
    <xdr:clientData/>
  </xdr:twoCellAnchor>
  <xdr:twoCellAnchor>
    <xdr:from>
      <xdr:col>1</xdr:col>
      <xdr:colOff>177800</xdr:colOff>
      <xdr:row>12</xdr:row>
      <xdr:rowOff>139700</xdr:rowOff>
    </xdr:from>
    <xdr:to>
      <xdr:col>3</xdr:col>
      <xdr:colOff>533400</xdr:colOff>
      <xdr:row>14</xdr:row>
      <xdr:rowOff>95250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D9ECB1E-C756-4B01-880E-E04064E97393}"/>
            </a:ext>
          </a:extLst>
        </xdr:cNvPr>
        <xdr:cNvSpPr/>
      </xdr:nvSpPr>
      <xdr:spPr>
        <a:xfrm>
          <a:off x="787400" y="2349500"/>
          <a:ext cx="1574800" cy="3238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RECORD</a:t>
          </a:r>
        </a:p>
      </xdr:txBody>
    </xdr:sp>
    <xdr:clientData/>
  </xdr:twoCellAnchor>
  <xdr:twoCellAnchor>
    <xdr:from>
      <xdr:col>1</xdr:col>
      <xdr:colOff>196850</xdr:colOff>
      <xdr:row>15</xdr:row>
      <xdr:rowOff>177800</xdr:rowOff>
    </xdr:from>
    <xdr:to>
      <xdr:col>3</xdr:col>
      <xdr:colOff>546100</xdr:colOff>
      <xdr:row>17</xdr:row>
      <xdr:rowOff>127000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816DD6-3CD7-4856-8DA0-CEF487B766BB}"/>
            </a:ext>
          </a:extLst>
        </xdr:cNvPr>
        <xdr:cNvSpPr/>
      </xdr:nvSpPr>
      <xdr:spPr>
        <a:xfrm>
          <a:off x="806450" y="2940050"/>
          <a:ext cx="1568450" cy="3175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FEE RECEIPT</a:t>
          </a:r>
        </a:p>
      </xdr:txBody>
    </xdr:sp>
    <xdr:clientData/>
  </xdr:twoCellAnchor>
  <xdr:twoCellAnchor>
    <xdr:from>
      <xdr:col>1</xdr:col>
      <xdr:colOff>184150</xdr:colOff>
      <xdr:row>3</xdr:row>
      <xdr:rowOff>63500</xdr:rowOff>
    </xdr:from>
    <xdr:to>
      <xdr:col>13</xdr:col>
      <xdr:colOff>457492</xdr:colOff>
      <xdr:row>20</xdr:row>
      <xdr:rowOff>158912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824508B-D23B-498C-A07B-D81BD8F88A0B}"/>
            </a:ext>
          </a:extLst>
        </xdr:cNvPr>
        <xdr:cNvGrpSpPr/>
      </xdr:nvGrpSpPr>
      <xdr:grpSpPr>
        <a:xfrm>
          <a:off x="793750" y="615950"/>
          <a:ext cx="7588542" cy="3225962"/>
          <a:chOff x="793750" y="615950"/>
          <a:chExt cx="7588542" cy="3225962"/>
        </a:xfrm>
      </xdr:grpSpPr>
      <xdr:sp macro="" textlink="">
        <xdr:nvSpPr>
          <xdr:cNvPr id="7" name="Rectangle: Rounded Corner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3E5F672-7F67-466A-96B2-F58C3B508188}"/>
              </a:ext>
            </a:extLst>
          </xdr:cNvPr>
          <xdr:cNvSpPr/>
        </xdr:nvSpPr>
        <xdr:spPr>
          <a:xfrm>
            <a:off x="793750" y="3505200"/>
            <a:ext cx="1600200" cy="3111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RECORD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772A2F-845A-4613-AE9D-0DE796C47050}"/>
              </a:ext>
            </a:extLst>
          </xdr:cNvPr>
          <xdr:cNvSpPr/>
        </xdr:nvSpPr>
        <xdr:spPr>
          <a:xfrm>
            <a:off x="806450" y="615950"/>
            <a:ext cx="160020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ENQUIRY</a:t>
            </a:r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203565-9F49-4F64-949F-FC3D3F5D9D8C}"/>
              </a:ext>
            </a:extLst>
          </xdr:cNvPr>
          <xdr:cNvSpPr/>
        </xdr:nvSpPr>
        <xdr:spPr>
          <a:xfrm>
            <a:off x="819150" y="1149350"/>
            <a:ext cx="1593850" cy="3365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COURSES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390D47A-8D71-4B0D-B2E6-FD6F44AA9054}"/>
              </a:ext>
            </a:extLst>
          </xdr:cNvPr>
          <xdr:cNvSpPr/>
        </xdr:nvSpPr>
        <xdr:spPr>
          <a:xfrm>
            <a:off x="812800" y="1739900"/>
            <a:ext cx="158115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ADMISSION FORM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99616F7-29D9-4594-AB90-3AC32BBB5090}"/>
              </a:ext>
            </a:extLst>
          </xdr:cNvPr>
          <xdr:cNvSpPr/>
        </xdr:nvSpPr>
        <xdr:spPr>
          <a:xfrm>
            <a:off x="812800" y="2349500"/>
            <a:ext cx="1574800" cy="3238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RECORD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D4692DF-8F16-4BCF-A105-04163041F14D}"/>
              </a:ext>
            </a:extLst>
          </xdr:cNvPr>
          <xdr:cNvSpPr/>
        </xdr:nvSpPr>
        <xdr:spPr>
          <a:xfrm>
            <a:off x="831850" y="2940050"/>
            <a:ext cx="1568450" cy="3175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RECEIPT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30E1735F-7987-4012-8380-A600434F09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92400" y="615950"/>
            <a:ext cx="5689892" cy="322596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5</xdr:row>
      <xdr:rowOff>146050</xdr:rowOff>
    </xdr:from>
    <xdr:to>
      <xdr:col>7</xdr:col>
      <xdr:colOff>19050</xdr:colOff>
      <xdr:row>7</xdr:row>
      <xdr:rowOff>25400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593DA4-F530-4E97-B871-898851FAE851}"/>
            </a:ext>
          </a:extLst>
        </xdr:cNvPr>
        <xdr:cNvSpPr/>
      </xdr:nvSpPr>
      <xdr:spPr>
        <a:xfrm>
          <a:off x="5124450" y="1066800"/>
          <a:ext cx="685800" cy="247650"/>
        </a:xfrm>
        <a:prstGeom prst="roundRect">
          <a:avLst>
            <a:gd name="adj" fmla="val 0"/>
          </a:avLst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8</xdr:row>
      <xdr:rowOff>6350</xdr:rowOff>
    </xdr:from>
    <xdr:to>
      <xdr:col>6</xdr:col>
      <xdr:colOff>25400</xdr:colOff>
      <xdr:row>9</xdr:row>
      <xdr:rowOff>120650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AE259D-FE37-45B4-B746-F60B91BC2469}"/>
            </a:ext>
          </a:extLst>
        </xdr:cNvPr>
        <xdr:cNvSpPr/>
      </xdr:nvSpPr>
      <xdr:spPr>
        <a:xfrm>
          <a:off x="4064000" y="1492250"/>
          <a:ext cx="78105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990600</xdr:colOff>
      <xdr:row>17</xdr:row>
      <xdr:rowOff>12700</xdr:rowOff>
    </xdr:from>
    <xdr:to>
      <xdr:col>6</xdr:col>
      <xdr:colOff>177800</xdr:colOff>
      <xdr:row>18</xdr:row>
      <xdr:rowOff>82550</xdr:rowOff>
    </xdr:to>
    <xdr:sp macro="[0]!SaveThe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ED228-F0B5-47B1-A497-4DA4725D7B8F}"/>
            </a:ext>
          </a:extLst>
        </xdr:cNvPr>
        <xdr:cNvSpPr/>
      </xdr:nvSpPr>
      <xdr:spPr>
        <a:xfrm>
          <a:off x="3613150" y="3225800"/>
          <a:ext cx="806450" cy="2603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SAVE</a:t>
          </a:r>
        </a:p>
      </xdr:txBody>
    </xdr:sp>
    <xdr:clientData/>
  </xdr:twoCellAnchor>
  <xdr:twoCellAnchor>
    <xdr:from>
      <xdr:col>8</xdr:col>
      <xdr:colOff>6350</xdr:colOff>
      <xdr:row>18</xdr:row>
      <xdr:rowOff>101600</xdr:rowOff>
    </xdr:from>
    <xdr:to>
      <xdr:col>9</xdr:col>
      <xdr:colOff>82550</xdr:colOff>
      <xdr:row>20</xdr:row>
      <xdr:rowOff>25400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196C9-8876-4853-9985-0EEA5DBB319F}"/>
            </a:ext>
          </a:extLst>
        </xdr:cNvPr>
        <xdr:cNvSpPr/>
      </xdr:nvSpPr>
      <xdr:spPr>
        <a:xfrm>
          <a:off x="5467350" y="3505200"/>
          <a:ext cx="68580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19</xdr:row>
      <xdr:rowOff>6350</xdr:rowOff>
    </xdr:from>
    <xdr:to>
      <xdr:col>10</xdr:col>
      <xdr:colOff>82550</xdr:colOff>
      <xdr:row>20</xdr:row>
      <xdr:rowOff>101600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61F27-05FA-4B14-B485-5E2DB42C5A77}"/>
            </a:ext>
          </a:extLst>
        </xdr:cNvPr>
        <xdr:cNvSpPr/>
      </xdr:nvSpPr>
      <xdr:spPr>
        <a:xfrm>
          <a:off x="10426700" y="3536950"/>
          <a:ext cx="1162050" cy="2794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17</xdr:row>
      <xdr:rowOff>114300</xdr:rowOff>
    </xdr:from>
    <xdr:to>
      <xdr:col>7</xdr:col>
      <xdr:colOff>82550</xdr:colOff>
      <xdr:row>18</xdr:row>
      <xdr:rowOff>177800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F6A46-E95E-48A1-8BA2-31D141023608}"/>
            </a:ext>
          </a:extLst>
        </xdr:cNvPr>
        <xdr:cNvSpPr/>
      </xdr:nvSpPr>
      <xdr:spPr>
        <a:xfrm>
          <a:off x="4660900" y="3282950"/>
          <a:ext cx="58420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  <xdr:twoCellAnchor>
    <xdr:from>
      <xdr:col>6</xdr:col>
      <xdr:colOff>95250</xdr:colOff>
      <xdr:row>19</xdr:row>
      <xdr:rowOff>127000</xdr:rowOff>
    </xdr:from>
    <xdr:to>
      <xdr:col>7</xdr:col>
      <xdr:colOff>76200</xdr:colOff>
      <xdr:row>20</xdr:row>
      <xdr:rowOff>177800</xdr:rowOff>
    </xdr:to>
    <xdr:sp macro="[0]!SaveFe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908D383-3733-4F5E-8575-C17663B5B0CA}"/>
            </a:ext>
          </a:extLst>
        </xdr:cNvPr>
        <xdr:cNvSpPr/>
      </xdr:nvSpPr>
      <xdr:spPr>
        <a:xfrm>
          <a:off x="4648200" y="3670300"/>
          <a:ext cx="590550" cy="2349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1</xdr:col>
      <xdr:colOff>177801</xdr:colOff>
      <xdr:row>10</xdr:row>
      <xdr:rowOff>63501</xdr:rowOff>
    </xdr:from>
    <xdr:to>
      <xdr:col>1</xdr:col>
      <xdr:colOff>854218</xdr:colOff>
      <xdr:row>14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FD64C5E-F533-4BCC-9F98-D0CCA29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1" y="1924051"/>
          <a:ext cx="676417" cy="8064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469900</xdr:colOff>
      <xdr:row>4</xdr:row>
      <xdr:rowOff>44450</xdr:rowOff>
    </xdr:from>
    <xdr:to>
      <xdr:col>9</xdr:col>
      <xdr:colOff>590550</xdr:colOff>
      <xdr:row>5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FD6B2C-59CA-4D45-B34F-BAADC5203E8E}"/>
            </a:ext>
          </a:extLst>
        </xdr:cNvPr>
        <xdr:cNvSpPr/>
      </xdr:nvSpPr>
      <xdr:spPr>
        <a:xfrm>
          <a:off x="8305800" y="781050"/>
          <a:ext cx="73025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5D865-E885-4DE6-8ED1-D55C613AE49A}" name="Table1" displayName="Table1" ref="A1:H2" totalsRowShown="0" headerRowDxfId="23" dataDxfId="21" headerRowBorderDxfId="22" tableBorderDxfId="20" totalsRowBorderDxfId="19">
  <autoFilter ref="A1:H2" xr:uid="{9DEBD854-02DF-4498-866D-4C3C8857D656}"/>
  <tableColumns count="8">
    <tableColumn id="1" xr3:uid="{A83AA876-AA5C-415A-814D-866454256B42}" name="Student ID" dataDxfId="18"/>
    <tableColumn id="2" xr3:uid="{994748BE-985C-407A-8A92-113167FDF4BC}" name="Admission Date" dataDxfId="17"/>
    <tableColumn id="3" xr3:uid="{B0D74E78-1AAD-4A69-9B0F-0D7B71720C0B}" name="Student Name" dataDxfId="16"/>
    <tableColumn id="4" xr3:uid="{C9DD1F61-1C45-41E5-86E2-E0CECCEE65F5}" name="Course" dataDxfId="15"/>
    <tableColumn id="5" xr3:uid="{A6513B49-714D-4862-9778-FE50B6B837DB}" name="Duration" dataDxfId="14"/>
    <tableColumn id="6" xr3:uid="{9B974136-406A-4589-A5F9-26D05342D4AE}" name="Course Fee" dataDxfId="13"/>
    <tableColumn id="7" xr3:uid="{4E23A7AE-9A3A-4030-BBB2-F8BC36E14177}" name="Discount" dataDxfId="12"/>
    <tableColumn id="8" xr3:uid="{76FC489A-6F0E-4C19-8F71-C203EC21716E}" name="Total Fe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9A9357-2B2A-4EEA-8E73-F2E4DD23A02A}" name="Table3" displayName="Table3" ref="A2:H3" totalsRowShown="0" headerRowDxfId="10" dataDxfId="9" tableBorderDxfId="8">
  <autoFilter ref="A2:H3" xr:uid="{6D588F65-BC40-4888-BA6E-7ACD6A7DAB2E}"/>
  <tableColumns count="8">
    <tableColumn id="1" xr3:uid="{A87EAB0B-2EA2-4B8D-A6A5-AB353E9066CE}" name="Student ID" dataDxfId="7"/>
    <tableColumn id="2" xr3:uid="{9A9DDB07-8BE4-4287-BA96-2C92841B731D}" name="Receipt No." dataDxfId="6"/>
    <tableColumn id="3" xr3:uid="{8B2451A3-5B41-4733-AE73-F86107B3DEFC}" name="Date" dataDxfId="5"/>
    <tableColumn id="4" xr3:uid="{99D08F1B-95C7-42CA-8BEA-A99D11923D9C}" name="Student Name" dataDxfId="4"/>
    <tableColumn id="5" xr3:uid="{0D3F623C-C77B-4FB6-ACA0-1B1429292BC4}" name="Course Name" dataDxfId="3"/>
    <tableColumn id="6" xr3:uid="{3A87C4F1-B749-4CB4-90EE-BB6614925B0A}" name="Month" dataDxfId="2"/>
    <tableColumn id="7" xr3:uid="{3BBFB76B-350A-4472-9C60-01936F99006D}" name="Payment Method" dataDxfId="1"/>
    <tableColumn id="11" xr3:uid="{18AA4C88-6116-40D3-8004-53F5C8C65487}" name="F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3795-B954-456E-88D5-3126464A8FD5}">
  <sheetPr codeName="Sheet1"/>
  <dimension ref="A1:X35"/>
  <sheetViews>
    <sheetView showGridLines="0" tabSelected="1" workbookViewId="0">
      <selection sqref="A1:N2"/>
    </sheetView>
  </sheetViews>
  <sheetFormatPr defaultRowHeight="14.5" x14ac:dyDescent="0.35"/>
  <sheetData>
    <row r="1" spans="1:24" x14ac:dyDescent="0.35">
      <c r="A1" s="56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8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x14ac:dyDescent="0.35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1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3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5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5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3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3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5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3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35">
      <c r="A9" s="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3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35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3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3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35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35">
      <c r="A15" s="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3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x14ac:dyDescent="0.3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x14ac:dyDescent="0.3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x14ac:dyDescent="0.3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3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3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15" thickBot="1" x14ac:dyDescent="0.4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8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35">
      <c r="A34" s="2"/>
      <c r="B34" s="2"/>
      <c r="C34" s="2"/>
      <c r="D34" s="2"/>
      <c r="E34" s="2"/>
      <c r="F34" s="2"/>
      <c r="G34" s="5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</sheetData>
  <mergeCells count="1">
    <mergeCell ref="A1:N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4312F-5CD2-46EC-9A3F-1D1D6D381824}">
  <sheetPr codeName="Sheet2"/>
  <dimension ref="B2:L7"/>
  <sheetViews>
    <sheetView showGridLines="0" workbookViewId="0">
      <selection activeCell="D28" sqref="D28"/>
    </sheetView>
  </sheetViews>
  <sheetFormatPr defaultRowHeight="14.5" x14ac:dyDescent="0.35"/>
  <cols>
    <col min="2" max="2" width="14.54296875" bestFit="1" customWidth="1"/>
    <col min="3" max="3" width="13.26953125" customWidth="1"/>
    <col min="4" max="4" width="15.90625" customWidth="1"/>
    <col min="5" max="5" width="15.453125" customWidth="1"/>
    <col min="6" max="6" width="11.6328125" customWidth="1"/>
    <col min="7" max="7" width="12" customWidth="1"/>
  </cols>
  <sheetData>
    <row r="2" spans="2:12" x14ac:dyDescent="0.35">
      <c r="B2" s="9" t="s">
        <v>1</v>
      </c>
      <c r="C2" s="9" t="s">
        <v>28</v>
      </c>
      <c r="D2" s="9" t="s">
        <v>29</v>
      </c>
      <c r="E2" s="9" t="s">
        <v>2</v>
      </c>
      <c r="F2" s="9" t="s">
        <v>60</v>
      </c>
      <c r="G2" s="9" t="s">
        <v>61</v>
      </c>
      <c r="H2" s="1"/>
      <c r="I2" s="1"/>
      <c r="J2" s="1"/>
      <c r="K2" s="1"/>
      <c r="L2" s="1"/>
    </row>
    <row r="3" spans="2:12" x14ac:dyDescent="0.35">
      <c r="B3" s="65">
        <f ca="1">NOW()</f>
        <v>44286.827269907408</v>
      </c>
      <c r="C3" s="68"/>
      <c r="D3" s="68"/>
      <c r="E3" s="68" t="str">
        <f>IFERROR(VLOOKUP(C3,'Student Record'!A1:H2,4,0),"")</f>
        <v/>
      </c>
      <c r="F3" s="68" t="str">
        <f>IFERROR(VLOOKUP(C3,'Student Fee Record'!A2:H3,2,0),"")</f>
        <v/>
      </c>
      <c r="G3" s="62" t="str">
        <f>IFERROR(VLOOKUP(C3,'Student Fee Record'!A2:H3,8,0),"")</f>
        <v/>
      </c>
      <c r="H3" s="1"/>
      <c r="I3" s="1"/>
      <c r="J3" s="1"/>
      <c r="K3" s="1"/>
      <c r="L3" s="1"/>
    </row>
    <row r="4" spans="2:12" x14ac:dyDescent="0.35">
      <c r="B4" s="66"/>
      <c r="C4" s="66"/>
      <c r="D4" s="66"/>
      <c r="E4" s="66"/>
      <c r="F4" s="66"/>
      <c r="G4" s="63"/>
      <c r="H4" s="1"/>
      <c r="I4" s="1"/>
      <c r="J4" s="1"/>
      <c r="K4" s="1"/>
      <c r="L4" s="1"/>
    </row>
    <row r="5" spans="2:12" x14ac:dyDescent="0.35">
      <c r="B5" s="67"/>
      <c r="C5" s="67"/>
      <c r="D5" s="67"/>
      <c r="E5" s="67"/>
      <c r="F5" s="67"/>
      <c r="G5" s="64"/>
      <c r="H5" s="1"/>
      <c r="I5" s="1"/>
      <c r="J5" s="1"/>
      <c r="K5" s="1"/>
      <c r="L5" s="1"/>
    </row>
    <row r="7" spans="2:12" x14ac:dyDescent="0.35">
      <c r="G7" s="10"/>
    </row>
  </sheetData>
  <mergeCells count="6">
    <mergeCell ref="G3:G5"/>
    <mergeCell ref="B3:B5"/>
    <mergeCell ref="C3:C5"/>
    <mergeCell ref="D3:D5"/>
    <mergeCell ref="E3:E5"/>
    <mergeCell ref="F3:F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A2BE-988F-4B90-8C22-3C246D276B87}">
  <sheetPr codeName="Sheet3"/>
  <dimension ref="B1:F7"/>
  <sheetViews>
    <sheetView showGridLines="0" workbookViewId="0">
      <selection activeCell="C3" sqref="C3"/>
    </sheetView>
  </sheetViews>
  <sheetFormatPr defaultRowHeight="14.5" x14ac:dyDescent="0.35"/>
  <cols>
    <col min="2" max="2" width="9.1796875" customWidth="1"/>
    <col min="3" max="3" width="15.81640625" customWidth="1"/>
    <col min="4" max="4" width="12.90625" customWidth="1"/>
    <col min="5" max="5" width="11.26953125" customWidth="1"/>
    <col min="6" max="6" width="11.08984375" customWidth="1"/>
  </cols>
  <sheetData>
    <row r="1" spans="2:6" ht="15" thickBot="1" x14ac:dyDescent="0.4"/>
    <row r="2" spans="2:6" ht="15" thickBot="1" x14ac:dyDescent="0.4">
      <c r="B2" s="9" t="s">
        <v>3</v>
      </c>
      <c r="C2" s="9" t="s">
        <v>4</v>
      </c>
      <c r="D2" s="9" t="s">
        <v>5</v>
      </c>
      <c r="E2" s="30" t="s">
        <v>6</v>
      </c>
      <c r="F2" s="31" t="s">
        <v>30</v>
      </c>
    </row>
    <row r="3" spans="2:6" x14ac:dyDescent="0.35">
      <c r="B3" s="12">
        <v>1</v>
      </c>
      <c r="C3" s="12" t="s">
        <v>7</v>
      </c>
      <c r="D3" s="13">
        <v>2000</v>
      </c>
      <c r="E3" s="12" t="s">
        <v>12</v>
      </c>
      <c r="F3" s="25">
        <v>0</v>
      </c>
    </row>
    <row r="4" spans="2:6" x14ac:dyDescent="0.35">
      <c r="B4" s="12">
        <v>2</v>
      </c>
      <c r="C4" s="12" t="s">
        <v>8</v>
      </c>
      <c r="D4" s="13">
        <v>7000</v>
      </c>
      <c r="E4" s="12" t="s">
        <v>12</v>
      </c>
      <c r="F4" s="16">
        <v>5.6</v>
      </c>
    </row>
    <row r="5" spans="2:6" x14ac:dyDescent="0.35">
      <c r="B5" s="12">
        <v>3</v>
      </c>
      <c r="C5" s="12" t="s">
        <v>9</v>
      </c>
      <c r="D5" s="13">
        <v>5000</v>
      </c>
      <c r="E5" s="12" t="s">
        <v>13</v>
      </c>
      <c r="F5" s="16">
        <v>2</v>
      </c>
    </row>
    <row r="6" spans="2:6" x14ac:dyDescent="0.35">
      <c r="B6" s="12">
        <v>4</v>
      </c>
      <c r="C6" s="12" t="s">
        <v>10</v>
      </c>
      <c r="D6" s="13">
        <v>5000</v>
      </c>
      <c r="E6" s="12" t="s">
        <v>13</v>
      </c>
      <c r="F6" s="16">
        <v>3.7</v>
      </c>
    </row>
    <row r="7" spans="2:6" x14ac:dyDescent="0.35">
      <c r="B7" s="12">
        <v>5</v>
      </c>
      <c r="C7" s="12" t="s">
        <v>11</v>
      </c>
      <c r="D7" s="13">
        <v>6000</v>
      </c>
      <c r="E7" s="12" t="s">
        <v>12</v>
      </c>
      <c r="F7" s="16">
        <v>2.4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6C64-4DD1-4E6B-ADB2-DF631155AEE9}">
  <sheetPr codeName="Sheet4"/>
  <dimension ref="B1:J21"/>
  <sheetViews>
    <sheetView showGridLines="0" workbookViewId="0">
      <selection activeCell="E27" sqref="E27"/>
    </sheetView>
  </sheetViews>
  <sheetFormatPr defaultRowHeight="14.5" x14ac:dyDescent="0.35"/>
  <cols>
    <col min="1" max="1" width="5.6328125" customWidth="1"/>
    <col min="2" max="2" width="14.453125" customWidth="1"/>
    <col min="3" max="3" width="15.26953125" bestFit="1" customWidth="1"/>
    <col min="5" max="5" width="14.453125" bestFit="1" customWidth="1"/>
    <col min="6" max="6" width="12.6328125" bestFit="1" customWidth="1"/>
  </cols>
  <sheetData>
    <row r="1" spans="2:10" ht="15" thickBot="1" x14ac:dyDescent="0.4"/>
    <row r="2" spans="2:10" ht="17" x14ac:dyDescent="0.35">
      <c r="B2" s="69" t="s">
        <v>14</v>
      </c>
      <c r="C2" s="70"/>
      <c r="D2" s="70"/>
      <c r="E2" s="70"/>
      <c r="F2" s="70"/>
      <c r="G2" s="71"/>
    </row>
    <row r="3" spans="2:10" x14ac:dyDescent="0.35">
      <c r="B3" s="3"/>
      <c r="C3" s="4"/>
      <c r="D3" s="4"/>
      <c r="E3" s="4"/>
      <c r="F3" s="4"/>
      <c r="G3" s="5"/>
    </row>
    <row r="4" spans="2:10" ht="15" thickBot="1" x14ac:dyDescent="0.4">
      <c r="B4" s="14" t="s">
        <v>15</v>
      </c>
      <c r="C4" s="26"/>
      <c r="D4" s="4"/>
      <c r="E4" s="4" t="s">
        <v>16</v>
      </c>
      <c r="F4" s="44"/>
      <c r="G4" s="5"/>
    </row>
    <row r="5" spans="2:10" x14ac:dyDescent="0.35">
      <c r="B5" s="3"/>
      <c r="C5" s="4"/>
      <c r="D5" s="4"/>
      <c r="E5" s="4"/>
      <c r="F5" s="4"/>
      <c r="G5" s="5"/>
    </row>
    <row r="6" spans="2:10" ht="15" thickBot="1" x14ac:dyDescent="0.4">
      <c r="B6" s="14" t="s">
        <v>18</v>
      </c>
      <c r="C6" s="72"/>
      <c r="D6" s="72"/>
      <c r="E6" s="72"/>
      <c r="F6" s="4"/>
      <c r="G6" s="5"/>
    </row>
    <row r="7" spans="2:10" x14ac:dyDescent="0.35">
      <c r="B7" s="3"/>
      <c r="C7" s="4"/>
      <c r="D7" s="4"/>
      <c r="E7" s="4"/>
      <c r="F7" s="4"/>
      <c r="G7" s="5"/>
    </row>
    <row r="8" spans="2:10" ht="15" thickBot="1" x14ac:dyDescent="0.4">
      <c r="B8" s="14" t="s">
        <v>19</v>
      </c>
      <c r="C8" s="72"/>
      <c r="D8" s="72"/>
      <c r="E8" s="72"/>
      <c r="F8" s="4"/>
      <c r="G8" s="5"/>
    </row>
    <row r="9" spans="2:10" x14ac:dyDescent="0.35">
      <c r="B9" s="3"/>
      <c r="C9" s="75"/>
      <c r="D9" s="4"/>
      <c r="E9" s="4"/>
      <c r="F9" s="4"/>
      <c r="G9" s="5"/>
    </row>
    <row r="10" spans="2:10" ht="15" thickBot="1" x14ac:dyDescent="0.4">
      <c r="B10" s="14" t="s">
        <v>20</v>
      </c>
      <c r="C10" s="74"/>
      <c r="D10" s="4"/>
      <c r="E10" s="15" t="s">
        <v>21</v>
      </c>
      <c r="F10" s="26"/>
      <c r="G10" s="5"/>
      <c r="J10" s="1"/>
    </row>
    <row r="11" spans="2:10" x14ac:dyDescent="0.35">
      <c r="B11" s="3"/>
      <c r="C11" s="73"/>
      <c r="D11" s="73"/>
      <c r="E11" s="73"/>
      <c r="F11" s="4"/>
      <c r="G11" s="5"/>
    </row>
    <row r="12" spans="2:10" ht="15" thickBot="1" x14ac:dyDescent="0.4">
      <c r="B12" s="14" t="s">
        <v>22</v>
      </c>
      <c r="C12" s="74"/>
      <c r="D12" s="74"/>
      <c r="E12" s="74"/>
      <c r="F12" s="4"/>
      <c r="G12" s="5"/>
    </row>
    <row r="13" spans="2:10" x14ac:dyDescent="0.35">
      <c r="B13" s="3"/>
      <c r="C13" s="4"/>
      <c r="D13" s="4"/>
      <c r="E13" s="4"/>
      <c r="F13" s="4"/>
      <c r="G13" s="5"/>
    </row>
    <row r="14" spans="2:10" ht="15" thickBot="1" x14ac:dyDescent="0.4">
      <c r="B14" s="14" t="s">
        <v>23</v>
      </c>
      <c r="C14" s="26"/>
      <c r="D14" s="4"/>
      <c r="E14" s="15" t="s">
        <v>24</v>
      </c>
      <c r="F14" s="26" t="str">
        <f>IFERROR(VLOOKUP(C14,Courses!C2:F7,3,0),"")</f>
        <v/>
      </c>
      <c r="G14" s="5"/>
    </row>
    <row r="15" spans="2:10" x14ac:dyDescent="0.35">
      <c r="B15" s="3"/>
      <c r="C15" s="4"/>
      <c r="D15" s="4"/>
      <c r="E15" s="4"/>
      <c r="F15" s="29"/>
      <c r="G15" s="5"/>
    </row>
    <row r="16" spans="2:10" ht="15" thickBot="1" x14ac:dyDescent="0.4">
      <c r="B16" s="14" t="s">
        <v>25</v>
      </c>
      <c r="C16" s="27" t="str">
        <f>IFERROR(VLOOKUP(C14,Courses!C2:F7,2,0),"")</f>
        <v/>
      </c>
      <c r="D16" s="4"/>
      <c r="E16" s="15" t="s">
        <v>26</v>
      </c>
      <c r="F16" s="26" t="str">
        <f>IFERROR(VLOOKUP(C14,Courses!C2:F7,4,0),"")</f>
        <v/>
      </c>
      <c r="G16" s="5"/>
    </row>
    <row r="17" spans="2:7" x14ac:dyDescent="0.35">
      <c r="B17" s="3"/>
      <c r="C17" s="4"/>
      <c r="D17" s="4"/>
      <c r="E17" s="4"/>
      <c r="F17" s="4"/>
      <c r="G17" s="5"/>
    </row>
    <row r="18" spans="2:7" ht="15" thickBot="1" x14ac:dyDescent="0.4">
      <c r="B18" s="14" t="s">
        <v>27</v>
      </c>
      <c r="C18" s="28" t="str">
        <f>IFERROR(C16*(100-F16)/100,"")</f>
        <v/>
      </c>
      <c r="D18" s="4"/>
      <c r="E18" s="4"/>
      <c r="F18" s="4"/>
      <c r="G18" s="5"/>
    </row>
    <row r="19" spans="2:7" x14ac:dyDescent="0.35">
      <c r="B19" s="3"/>
      <c r="C19" s="4"/>
      <c r="D19" s="4"/>
      <c r="E19" s="4"/>
      <c r="F19" s="4"/>
      <c r="G19" s="5"/>
    </row>
    <row r="20" spans="2:7" ht="15" thickBot="1" x14ac:dyDescent="0.4">
      <c r="B20" s="6"/>
      <c r="C20" s="7"/>
      <c r="D20" s="7"/>
      <c r="E20" s="7"/>
      <c r="F20" s="7"/>
      <c r="G20" s="8"/>
    </row>
    <row r="21" spans="2:7" x14ac:dyDescent="0.35">
      <c r="B21" s="1"/>
      <c r="C21" s="1"/>
      <c r="D21" s="1"/>
      <c r="E21" s="1"/>
      <c r="F21" s="1"/>
      <c r="G21" s="1"/>
    </row>
  </sheetData>
  <mergeCells count="5">
    <mergeCell ref="B2:G2"/>
    <mergeCell ref="C6:E6"/>
    <mergeCell ref="C8:E8"/>
    <mergeCell ref="C11:E12"/>
    <mergeCell ref="C9:C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9F560B-2800-4036-BE7C-C544DE35EFA1}">
          <x14:formula1>
            <xm:f>Courses!$C$3:$C$7</xm:f>
          </x14:formula1>
          <xm:sqref>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A4F1-219A-4213-AE60-03E841D1469C}">
  <sheetPr codeName="Sheet5"/>
  <dimension ref="A1:K21"/>
  <sheetViews>
    <sheetView showGridLines="0" workbookViewId="0">
      <selection activeCell="A2" sqref="A2"/>
    </sheetView>
  </sheetViews>
  <sheetFormatPr defaultRowHeight="14.5" x14ac:dyDescent="0.35"/>
  <cols>
    <col min="1" max="1" width="17.26953125" bestFit="1" customWidth="1"/>
    <col min="2" max="2" width="22.81640625" bestFit="1" customWidth="1"/>
    <col min="3" max="3" width="21.36328125" bestFit="1" customWidth="1"/>
    <col min="4" max="4" width="15.26953125" bestFit="1" customWidth="1"/>
    <col min="5" max="5" width="17.81640625" bestFit="1" customWidth="1"/>
    <col min="6" max="6" width="18.08984375" bestFit="1" customWidth="1"/>
    <col min="7" max="7" width="15.26953125" bestFit="1" customWidth="1"/>
    <col min="8" max="8" width="16" bestFit="1" customWidth="1"/>
    <col min="9" max="9" width="14.08984375" bestFit="1" customWidth="1"/>
  </cols>
  <sheetData>
    <row r="1" spans="1:11" ht="17" x14ac:dyDescent="0.5">
      <c r="A1" s="39" t="s">
        <v>32</v>
      </c>
      <c r="B1" s="40" t="s">
        <v>47</v>
      </c>
      <c r="C1" s="40" t="s">
        <v>17</v>
      </c>
      <c r="D1" s="40" t="s">
        <v>48</v>
      </c>
      <c r="E1" s="40" t="s">
        <v>52</v>
      </c>
      <c r="F1" s="40" t="s">
        <v>49</v>
      </c>
      <c r="G1" s="40" t="s">
        <v>50</v>
      </c>
      <c r="H1" s="41" t="s">
        <v>51</v>
      </c>
      <c r="I1" s="1"/>
      <c r="J1" s="1"/>
      <c r="K1" s="1"/>
    </row>
    <row r="2" spans="1:11" x14ac:dyDescent="0.35">
      <c r="A2" s="32"/>
      <c r="B2" s="42"/>
      <c r="C2" s="33"/>
      <c r="D2" s="33"/>
      <c r="E2" s="33"/>
      <c r="F2" s="34"/>
      <c r="G2" s="43"/>
      <c r="H2" s="34"/>
      <c r="I2" s="1"/>
      <c r="J2" s="1"/>
      <c r="K2" s="1"/>
    </row>
    <row r="3" spans="1:1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35">
      <c r="I11" s="1"/>
      <c r="J11" s="1"/>
      <c r="K11" s="1"/>
    </row>
    <row r="12" spans="1:11" x14ac:dyDescent="0.35">
      <c r="I12" s="1"/>
      <c r="J12" s="1"/>
      <c r="K12" s="1"/>
    </row>
    <row r="13" spans="1:11" x14ac:dyDescent="0.35">
      <c r="I13" s="1"/>
      <c r="J13" s="1"/>
      <c r="K13" s="1"/>
    </row>
    <row r="14" spans="1:11" x14ac:dyDescent="0.35">
      <c r="I14" s="1"/>
      <c r="J14" s="1"/>
      <c r="K14" s="1"/>
    </row>
    <row r="15" spans="1:11" x14ac:dyDescent="0.35">
      <c r="I15" s="1"/>
      <c r="J15" s="1"/>
      <c r="K15" s="1"/>
    </row>
    <row r="16" spans="1:11" x14ac:dyDescent="0.35">
      <c r="I16" s="1"/>
      <c r="J16" s="1"/>
      <c r="K16" s="1"/>
    </row>
    <row r="17" spans="9:11" x14ac:dyDescent="0.35">
      <c r="I17" s="1"/>
      <c r="J17" s="1"/>
      <c r="K17" s="1"/>
    </row>
    <row r="18" spans="9:11" x14ac:dyDescent="0.35">
      <c r="I18" s="1"/>
      <c r="J18" s="1"/>
      <c r="K18" s="1"/>
    </row>
    <row r="19" spans="9:11" x14ac:dyDescent="0.35">
      <c r="I19" s="1"/>
      <c r="J19" s="1"/>
      <c r="K19" s="1"/>
    </row>
    <row r="20" spans="9:11" x14ac:dyDescent="0.35">
      <c r="I20" s="1"/>
      <c r="J20" s="1"/>
      <c r="K20" s="1"/>
    </row>
    <row r="21" spans="9:11" x14ac:dyDescent="0.35">
      <c r="I21" s="1"/>
      <c r="J21" s="1"/>
      <c r="K21" s="1"/>
    </row>
  </sheetData>
  <phoneticPr fontId="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76C9-A4A5-4FC5-B003-1DCD9FEF8A20}">
  <sheetPr codeName="Sheet6"/>
  <dimension ref="A1:R26"/>
  <sheetViews>
    <sheetView showGridLines="0" workbookViewId="0">
      <selection activeCell="B9" sqref="B9"/>
    </sheetView>
  </sheetViews>
  <sheetFormatPr defaultRowHeight="14.5" x14ac:dyDescent="0.35"/>
  <cols>
    <col min="1" max="1" width="17.26953125" customWidth="1"/>
    <col min="2" max="2" width="15.26953125" bestFit="1" customWidth="1"/>
    <col min="4" max="4" width="10.81640625" bestFit="1" customWidth="1"/>
    <col min="5" max="5" width="14.54296875" bestFit="1" customWidth="1"/>
  </cols>
  <sheetData>
    <row r="1" spans="1:18" x14ac:dyDescent="0.35">
      <c r="A1" s="78" t="s">
        <v>31</v>
      </c>
      <c r="B1" s="79"/>
      <c r="C1" s="79"/>
      <c r="D1" s="79"/>
      <c r="E1" s="79"/>
      <c r="F1" s="80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ht="15" thickBot="1" x14ac:dyDescent="0.4">
      <c r="A2" s="81"/>
      <c r="B2" s="82"/>
      <c r="C2" s="82"/>
      <c r="D2" s="82"/>
      <c r="E2" s="82"/>
      <c r="F2" s="83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35">
      <c r="A3" s="20" t="s">
        <v>33</v>
      </c>
      <c r="B3" s="45"/>
      <c r="C3" s="1"/>
      <c r="D3" s="21" t="s">
        <v>34</v>
      </c>
      <c r="E3" s="45"/>
      <c r="F3" s="18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35">
      <c r="A4" s="17"/>
      <c r="B4" s="1"/>
      <c r="C4" s="1"/>
      <c r="D4" s="1"/>
      <c r="E4" s="1"/>
      <c r="F4" s="18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35">
      <c r="A5" s="23" t="s">
        <v>18</v>
      </c>
      <c r="B5" s="45"/>
      <c r="C5" s="1"/>
      <c r="D5" s="1"/>
      <c r="E5" s="1"/>
      <c r="F5" s="18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35">
      <c r="A6" s="17"/>
      <c r="B6" s="1"/>
      <c r="C6" s="1"/>
      <c r="D6" s="1"/>
      <c r="E6" s="1"/>
      <c r="F6" s="18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35">
      <c r="A7" s="23" t="s">
        <v>23</v>
      </c>
      <c r="B7" s="45" t="s">
        <v>11</v>
      </c>
      <c r="C7" s="1"/>
      <c r="D7" s="22" t="s">
        <v>36</v>
      </c>
      <c r="E7" s="46">
        <f ca="1">NOW()</f>
        <v>44286.827269907408</v>
      </c>
      <c r="F7" s="18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35">
      <c r="A8" s="17"/>
      <c r="B8" s="1"/>
      <c r="C8" s="1"/>
      <c r="D8" s="1"/>
      <c r="E8" s="1"/>
      <c r="F8" s="18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5" thickBot="1" x14ac:dyDescent="0.4">
      <c r="A9" s="23" t="s">
        <v>35</v>
      </c>
      <c r="B9" s="45"/>
      <c r="C9" s="1"/>
      <c r="D9" s="1"/>
      <c r="E9" s="1"/>
      <c r="F9" s="18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5" thickBot="1" x14ac:dyDescent="0.4">
      <c r="A10" s="86" t="s">
        <v>57</v>
      </c>
      <c r="B10" s="84"/>
      <c r="C10" s="84"/>
      <c r="D10" s="85"/>
      <c r="E10" s="84" t="s">
        <v>39</v>
      </c>
      <c r="F10" s="85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x14ac:dyDescent="0.35">
      <c r="A11" s="87"/>
      <c r="B11" s="87"/>
      <c r="C11" s="87"/>
      <c r="D11" s="88"/>
      <c r="E11" s="98">
        <f>IFERROR(VLOOKUP(B7,Courses!C2:F7,2,0),"")</f>
        <v>6000</v>
      </c>
      <c r="F11" s="99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 x14ac:dyDescent="0.35">
      <c r="A12" s="89"/>
      <c r="B12" s="89"/>
      <c r="C12" s="89"/>
      <c r="D12" s="90"/>
      <c r="E12" s="100"/>
      <c r="F12" s="101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1:18" x14ac:dyDescent="0.35">
      <c r="A13" s="89"/>
      <c r="B13" s="89"/>
      <c r="C13" s="89"/>
      <c r="D13" s="90"/>
      <c r="E13" s="100"/>
      <c r="F13" s="101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1:18" x14ac:dyDescent="0.35">
      <c r="A14" s="89"/>
      <c r="B14" s="89"/>
      <c r="C14" s="89"/>
      <c r="D14" s="90"/>
      <c r="E14" s="100"/>
      <c r="F14" s="101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1:18" ht="15" thickBot="1" x14ac:dyDescent="0.4">
      <c r="A15" s="91"/>
      <c r="B15" s="91"/>
      <c r="C15" s="91"/>
      <c r="D15" s="92"/>
      <c r="E15" s="102"/>
      <c r="F15" s="103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1:18" ht="15" thickBot="1" x14ac:dyDescent="0.4">
      <c r="A16" s="104" t="s">
        <v>40</v>
      </c>
      <c r="B16" s="105"/>
      <c r="C16" s="105"/>
      <c r="D16" s="106"/>
      <c r="E16" s="93">
        <f>IFERROR(VLOOKUP(B7,Courses!C2:F7,2,0),"")</f>
        <v>6000</v>
      </c>
      <c r="F16" s="9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1:18" ht="15" thickBot="1" x14ac:dyDescent="0.4">
      <c r="A17" s="104" t="s">
        <v>26</v>
      </c>
      <c r="B17" s="105"/>
      <c r="C17" s="105"/>
      <c r="D17" s="106"/>
      <c r="E17" s="95">
        <f>IFERROR(VLOOKUP(B7,Courses!C2:F7,4,0),"")</f>
        <v>2.4</v>
      </c>
      <c r="F17" s="96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1:18" ht="15" thickBot="1" x14ac:dyDescent="0.4">
      <c r="A18" s="104" t="s">
        <v>41</v>
      </c>
      <c r="B18" s="105"/>
      <c r="C18" s="105"/>
      <c r="D18" s="106"/>
      <c r="E18" s="97">
        <f>IFERROR((100-E17)*E16/100,"")</f>
        <v>5856</v>
      </c>
      <c r="F18" s="9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1:18" x14ac:dyDescent="0.35">
      <c r="A19" s="17"/>
      <c r="B19" s="1"/>
      <c r="C19" s="1"/>
      <c r="D19" s="1"/>
      <c r="E19" s="1"/>
      <c r="F19" s="18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1:18" ht="15" thickBot="1" x14ac:dyDescent="0.4">
      <c r="A20" s="17"/>
      <c r="B20" s="1"/>
      <c r="C20" s="1"/>
      <c r="D20" s="1"/>
      <c r="E20" s="1"/>
      <c r="F20" s="18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1:18" ht="15" thickBot="1" x14ac:dyDescent="0.4">
      <c r="A21" s="55" t="s">
        <v>62</v>
      </c>
      <c r="B21" s="11" t="s">
        <v>55</v>
      </c>
      <c r="C21" s="19"/>
      <c r="D21" s="54" t="s">
        <v>42</v>
      </c>
      <c r="E21" s="76"/>
      <c r="F21" s="77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1:18" x14ac:dyDescent="0.3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1:18" x14ac:dyDescent="0.3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1:18" x14ac:dyDescent="0.3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3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3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</sheetData>
  <mergeCells count="12">
    <mergeCell ref="E21:F21"/>
    <mergeCell ref="A1:F2"/>
    <mergeCell ref="E10:F10"/>
    <mergeCell ref="A10:D10"/>
    <mergeCell ref="A11:D15"/>
    <mergeCell ref="E16:F16"/>
    <mergeCell ref="E17:F17"/>
    <mergeCell ref="E18:F18"/>
    <mergeCell ref="E11:F15"/>
    <mergeCell ref="A16:D16"/>
    <mergeCell ref="A17:D17"/>
    <mergeCell ref="A18:D1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0AD3D8-92C1-4AEE-BAAE-10F80F32C4E0}">
          <x14:formula1>
            <xm:f>Sheet1!$B$3:$B$7</xm:f>
          </x14:formula1>
          <xm:sqref>B21</xm:sqref>
        </x14:dataValidation>
        <x14:dataValidation type="list" allowBlank="1" showInputMessage="1" showErrorMessage="1" xr:uid="{B041D5B4-54B9-489C-A8F4-6E58D00ED30F}">
          <x14:formula1>
            <xm:f>Courses!$C$3:$C$7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9C93-0768-49F2-9215-69C5AD08D1E1}">
  <sheetPr codeName="Sheet7"/>
  <dimension ref="A2:H3"/>
  <sheetViews>
    <sheetView showGridLines="0" workbookViewId="0">
      <selection activeCell="A2" sqref="A2"/>
    </sheetView>
  </sheetViews>
  <sheetFormatPr defaultRowHeight="14.5" x14ac:dyDescent="0.35"/>
  <cols>
    <col min="1" max="1" width="14.26953125" bestFit="1" customWidth="1"/>
    <col min="2" max="2" width="14.90625" bestFit="1" customWidth="1"/>
    <col min="3" max="3" width="9.36328125" bestFit="1" customWidth="1"/>
    <col min="4" max="4" width="17.453125" bestFit="1" customWidth="1"/>
    <col min="5" max="5" width="16.54296875" bestFit="1" customWidth="1"/>
    <col min="6" max="6" width="11.08984375" bestFit="1" customWidth="1"/>
    <col min="7" max="7" width="20.08984375" bestFit="1" customWidth="1"/>
    <col min="8" max="8" width="9.6328125" bestFit="1" customWidth="1"/>
  </cols>
  <sheetData>
    <row r="2" spans="1:8" x14ac:dyDescent="0.35">
      <c r="A2" s="37" t="s">
        <v>32</v>
      </c>
      <c r="B2" s="35" t="s">
        <v>43</v>
      </c>
      <c r="C2" s="50" t="s">
        <v>44</v>
      </c>
      <c r="D2" s="35" t="s">
        <v>17</v>
      </c>
      <c r="E2" s="35" t="s">
        <v>45</v>
      </c>
      <c r="F2" s="35" t="s">
        <v>46</v>
      </c>
      <c r="G2" s="35" t="s">
        <v>38</v>
      </c>
      <c r="H2" s="38" t="s">
        <v>58</v>
      </c>
    </row>
    <row r="3" spans="1:8" x14ac:dyDescent="0.35">
      <c r="A3" s="29"/>
      <c r="B3" s="36"/>
      <c r="C3" s="51"/>
      <c r="D3" s="36"/>
      <c r="E3" s="36"/>
      <c r="F3" s="36"/>
      <c r="G3" s="36"/>
      <c r="H3" s="5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2DE7-22A5-429B-93E1-41621A652C12}">
  <sheetPr codeName="Sheet8"/>
  <dimension ref="B2:B7"/>
  <sheetViews>
    <sheetView workbookViewId="0">
      <selection activeCell="B2" sqref="B2"/>
    </sheetView>
  </sheetViews>
  <sheetFormatPr defaultRowHeight="14.5" x14ac:dyDescent="0.35"/>
  <cols>
    <col min="2" max="2" width="12.54296875" bestFit="1" customWidth="1"/>
  </cols>
  <sheetData>
    <row r="2" spans="2:2" x14ac:dyDescent="0.35">
      <c r="B2" s="47" t="s">
        <v>37</v>
      </c>
    </row>
    <row r="3" spans="2:2" x14ac:dyDescent="0.35">
      <c r="B3" s="49" t="s">
        <v>59</v>
      </c>
    </row>
    <row r="4" spans="2:2" x14ac:dyDescent="0.35">
      <c r="B4" s="48" t="s">
        <v>53</v>
      </c>
    </row>
    <row r="5" spans="2:2" x14ac:dyDescent="0.35">
      <c r="B5" s="48" t="s">
        <v>54</v>
      </c>
    </row>
    <row r="6" spans="2:2" x14ac:dyDescent="0.35">
      <c r="B6" s="48" t="s">
        <v>55</v>
      </c>
    </row>
    <row r="7" spans="2:2" x14ac:dyDescent="0.35">
      <c r="B7" s="48" t="s"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Enquiry</vt:lpstr>
      <vt:lpstr>Courses</vt:lpstr>
      <vt:lpstr>Admission Form</vt:lpstr>
      <vt:lpstr>Student Record</vt:lpstr>
      <vt:lpstr>Student Fee Receipt</vt:lpstr>
      <vt:lpstr>Student Fee Record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Jha</dc:creator>
  <cp:lastModifiedBy>Manoj Jha</cp:lastModifiedBy>
  <dcterms:created xsi:type="dcterms:W3CDTF">2021-03-20T15:00:46Z</dcterms:created>
  <dcterms:modified xsi:type="dcterms:W3CDTF">2021-03-31T14:38:43Z</dcterms:modified>
</cp:coreProperties>
</file>